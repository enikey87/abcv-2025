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wnloads/Расход по отделениям   . 2025/"/>
    </mc:Choice>
  </mc:AlternateContent>
  <xr:revisionPtr revIDLastSave="0" documentId="13_ncr:1_{DD424312-2F7B-2F4E-864E-8E5C950797BC}" xr6:coauthVersionLast="47" xr6:coauthVersionMax="47" xr10:uidLastSave="{00000000-0000-0000-0000-000000000000}"/>
  <bookViews>
    <workbookView showSheetTabs="0" xWindow="0" yWindow="780" windowWidth="27540" windowHeight="17840" tabRatio="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1" i="1" l="1"/>
  <c r="E91" i="1"/>
</calcChain>
</file>

<file path=xl/sharedStrings.xml><?xml version="1.0" encoding="utf-8"?>
<sst xmlns="http://schemas.openxmlformats.org/spreadsheetml/2006/main" count="267" uniqueCount="101">
  <si>
    <t>По всем товарам. По всем отделам. По всем изготовителям. По всем ОКП. Фильтр по фармгруппам. По всем ставкам НДС. По всем видам договоров.</t>
  </si>
  <si>
    <t>Товар - название</t>
  </si>
  <si>
    <t>Ед.</t>
  </si>
  <si>
    <t>Операции расхода</t>
  </si>
  <si>
    <t>Кол-во</t>
  </si>
  <si>
    <t>Сумма</t>
  </si>
  <si>
    <t>уп.</t>
  </si>
  <si>
    <t>Адреналин амп. 0,1% 1мл №5</t>
  </si>
  <si>
    <t>Азитромицин  пор. д/сусп. 100мг/5мл фл.</t>
  </si>
  <si>
    <t>Амикацин 0,5г в/в, в/м фл.</t>
  </si>
  <si>
    <t>Амикацин фл. 1,0 в/в, в/м</t>
  </si>
  <si>
    <t>Амоксиклав пор. д/сусп. 125мг+31,25мг/5мл фл. 100мл</t>
  </si>
  <si>
    <t>Амоксиклав пор. д/сусп. 250мг+62,5мг/5мл фл. 100мл</t>
  </si>
  <si>
    <t>Амоксициллин таб. 500мг №20</t>
  </si>
  <si>
    <t>Амоксициллин+Клавулановая кислота ЭКСПРЕСС таб. дисперг. 500мг+125мг №14</t>
  </si>
  <si>
    <t>Ампициллин+Сульбактам 1,0+0,5 №1 в/в в/м</t>
  </si>
  <si>
    <t>Анальгин амп. 50% 2мл №10</t>
  </si>
  <si>
    <t>Анальгин таб. 0,5 г №10</t>
  </si>
  <si>
    <t>шт</t>
  </si>
  <si>
    <t>Арбидол таб. п/о 50мг №20</t>
  </si>
  <si>
    <t>Астмасол бронхо р-р д/инг 0,25мг/мл+0,5мг/мл  фл. 20мл</t>
  </si>
  <si>
    <t>Ацикловир таб. 200мг №20</t>
  </si>
  <si>
    <t>Аципол 10 млн. КОЕ капс №30</t>
  </si>
  <si>
    <t>Беродуал р-р д/ингал. фл. 20мл</t>
  </si>
  <si>
    <t>Бифидумбактерин 5 доз №30 таб.</t>
  </si>
  <si>
    <t>Бифидумбактерин фл. 5 доз №10</t>
  </si>
  <si>
    <t>фл.</t>
  </si>
  <si>
    <t>Бромгексин таб. 4мг №50</t>
  </si>
  <si>
    <t>Бромгексин таб. 8мг №50</t>
  </si>
  <si>
    <t>Валерианы настойка 25мл</t>
  </si>
  <si>
    <t>Виферон-1 свечи 150000МЕ №10</t>
  </si>
  <si>
    <t>Глицерин свечи д/взрослых 2,11г №10</t>
  </si>
  <si>
    <t>Дезинфицирующее средство Абсолюсепт элит 1л (кожн.а/септ.)</t>
  </si>
  <si>
    <t>Дезринит спр. наз. 50мкг/доза (140 доз) 18г</t>
  </si>
  <si>
    <t>Дексаметазон амп. 4мг 1мл №25</t>
  </si>
  <si>
    <t>Дексаметазон амп. 4мг 2мл №10</t>
  </si>
  <si>
    <t>Деринат р-р 0,25% фл. 10мл</t>
  </si>
  <si>
    <t>Дибазол амп. 1% 5мл №10</t>
  </si>
  <si>
    <t>Диметинден 0,001/мл фл. 20мл капли д/приема внутрь</t>
  </si>
  <si>
    <t>Дисоль фл. 200мл №20</t>
  </si>
  <si>
    <t>Дротаверин таб. 0,04 №50</t>
  </si>
  <si>
    <t>Зилекса септ р-р д/мест.прим 0,01%150мл с расп.</t>
  </si>
  <si>
    <t>Зиннат таб. 250мг №10</t>
  </si>
  <si>
    <t>Ибупрофен сусп.100мг/5мл фл.150мл д/детей апельсин</t>
  </si>
  <si>
    <t>Йода р-р спирт. 5%  фл. 10мл</t>
  </si>
  <si>
    <t>Лоратавел таб. 10мг №10</t>
  </si>
  <si>
    <t>Магния сульфат амп. 25% 5мл №10</t>
  </si>
  <si>
    <t>Метоклопрамид  д/ин. амп. 5мг/мл 2мл №10</t>
  </si>
  <si>
    <t>Микразим капс. 10тыс. ЕД №20</t>
  </si>
  <si>
    <t>Мирамистин 0,01% р-р фл. 150мл с распылителем</t>
  </si>
  <si>
    <t>Мотилиум д/детей сусп. 100мл.</t>
  </si>
  <si>
    <t>Називин капли в нос 0,01% фл. 5мл</t>
  </si>
  <si>
    <t>Називин капли в нос 0,025% фл. 10мл</t>
  </si>
  <si>
    <t>Натрия хлорид амп. 0,9% 10мл №10</t>
  </si>
  <si>
    <t>Натрия хлорид амп. 0,9% 5мл №10</t>
  </si>
  <si>
    <t>Нексиум таб. п/о 20мг №28</t>
  </si>
  <si>
    <t>Необутин 100мг таб. №10</t>
  </si>
  <si>
    <t>Необутин 200мг таб. №30</t>
  </si>
  <si>
    <t>Нифуроксазид сусп. д/приема внутрь 200мг/5мл  фл. 100мл</t>
  </si>
  <si>
    <t>Но-шпа амп. 40мг 2 мл №5</t>
  </si>
  <si>
    <t>Новокаин амп. 0,5% 5мл №10</t>
  </si>
  <si>
    <t>Нурофен сусп.100мг/5мл фл.150мл д/детей апельсин</t>
  </si>
  <si>
    <t>Омнитус кап. д/внутр. прим. 5мг/мл фл. 20мл</t>
  </si>
  <si>
    <t>Панцеф д/сусп. 0,1/5мл 60мл</t>
  </si>
  <si>
    <t>Папаверина г\хл амп. 2% 2мл №10</t>
  </si>
  <si>
    <t>Парацетамол таб. 500мг №20</t>
  </si>
  <si>
    <t>Перекись водорода фл 6% р-р 1л</t>
  </si>
  <si>
    <t>Полисорб МП порошок 25г</t>
  </si>
  <si>
    <t>Полисорб МП порошок 50г</t>
  </si>
  <si>
    <t>Преднизол амп. 30мг 1мл №3</t>
  </si>
  <si>
    <t>Преднизолон р-р д/ин. амп.30мг 1мл №25</t>
  </si>
  <si>
    <t>Преднизолон таб. 5мг №100</t>
  </si>
  <si>
    <t>Пульмибуд сусп. д/инг 0,5/мл 2мл №20</t>
  </si>
  <si>
    <t>Пустырника настойка 25мл</t>
  </si>
  <si>
    <t>Саб симплекс сусп. д/приема внутрь 69,19мг/мл фл. 30мл</t>
  </si>
  <si>
    <t>Сальбутамол аэр. 0,1мг 200доз</t>
  </si>
  <si>
    <t>Смекта 3г №30</t>
  </si>
  <si>
    <t>Сультасин пор. для в/в и в/м введ. 1г+0,5г фл. №50</t>
  </si>
  <si>
    <t>Сумамед пор. д/сусп. 100мг/5мл фл. 20мл</t>
  </si>
  <si>
    <t>Суприламин  таб. 25мг №20</t>
  </si>
  <si>
    <t>Сыворотка п/ботулиническая типа А очищ.конц-я жид-я сус-я д/ин 10000МЕ №5</t>
  </si>
  <si>
    <t>Сыворотка п/ботулиническая типа Е очищ.конц-я жид-я сус-я д/ин 10000МЕ №5</t>
  </si>
  <si>
    <t>Сыворотка п/дифтерийная лошадиная очищенная для в/м, п/к 10000МЕ №5</t>
  </si>
  <si>
    <t>Таблетки от кашля №20</t>
  </si>
  <si>
    <t>Умифеновир капс. 100мг №20</t>
  </si>
  <si>
    <t>Флуконазол капс. 50мг №7</t>
  </si>
  <si>
    <t>Фосфалюгель пак. 16 г №20</t>
  </si>
  <si>
    <t>Хлоропирамин р-р в/в и в/м 20мг/мл 1мл амп. №5</t>
  </si>
  <si>
    <t>Хофитол таб. п/о №180</t>
  </si>
  <si>
    <t>Цефекон Д свечи 0,05 №10</t>
  </si>
  <si>
    <t>Цефекон Д свечи 0,1 №10</t>
  </si>
  <si>
    <t>Цефотаксим пор. д/ин фл. 1г вв/вм</t>
  </si>
  <si>
    <t>Цефотаксим пор. д/ин. в/в, в/м 1г №50</t>
  </si>
  <si>
    <t>Цефтриаксон пор в/в, в/м фл 1г №50</t>
  </si>
  <si>
    <t>Эуфиллин амп. 2,4% 5мл №10</t>
  </si>
  <si>
    <t>Всего:</t>
  </si>
  <si>
    <t>Приемный покой 2025 г.</t>
  </si>
  <si>
    <t>Ацесоль</t>
  </si>
  <si>
    <t>V</t>
  </si>
  <si>
    <t>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</si>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</sst>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0.00;[Red]\-0.00"/>
  </numFmts>
  <fonts count="8" x14ac:knownFonts="1">
    <font>
      <sz val="8"/>
      <name val="Arial"/>
      <family val="2"/>
      <charset val="204"/>
    </font>
    <font>
      <sz val="20"/>
      <color indexed="55"/>
      <name val="Times New Roman"/>
      <family val="1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indexed="55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left"/>
    </xf>
  </cellStyleXfs>
  <cellXfs count="20">
    <xf numFmtId="0" fontId="0" fillId="0" borderId="0" xfId="0" applyAlignme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right" vertical="center"/>
    </xf>
    <xf numFmtId="165" fontId="4" fillId="0" borderId="7" xfId="0" applyNumberFormat="1" applyFont="1" applyBorder="1" applyAlignment="1">
      <alignment horizontal="right" vertical="center"/>
    </xf>
    <xf numFmtId="0" fontId="0" fillId="0" borderId="8" xfId="0" applyBorder="1" applyAlignment="1"/>
    <xf numFmtId="165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9" xfId="0" applyFont="1" applyBorder="1" applyAlignment="1">
      <alignment horizontal="right" vertical="center"/>
    </xf>
    <xf numFmtId="0" fontId="5" fillId="0" borderId="6" xfId="0" applyFont="1" applyBorder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topLeftCell="A67" zoomScale="190" zoomScaleNormal="190" workbookViewId="0">
      <selection activeCell="I83" sqref="I83"/>
    </sheetView>
  </sheetViews>
  <sheetFormatPr baseColWidth="10" defaultColWidth="8.75" defaultRowHeight="11" x14ac:dyDescent="0.15"/>
  <cols>
    <col min="1" max="1" width="6.25" style="14" customWidth="1"/>
    <col min="2" max="2" width="11.75" customWidth="1"/>
    <col min="3" max="3" width="43.5" customWidth="1"/>
    <col min="4" max="4" width="5.75" customWidth="1"/>
    <col min="5" max="6" width="13.75" customWidth="1"/>
    <col min="7" max="255" width="10.25" customWidth="1"/>
  </cols>
  <sheetData>
    <row r="1" spans="1:7" ht="25" x14ac:dyDescent="0.15">
      <c r="A1" s="11" t="s">
        <v>96</v>
      </c>
      <c r="B1" s="2"/>
      <c r="C1" s="2"/>
      <c r="D1" s="1"/>
      <c r="E1" s="1"/>
      <c r="F1" s="2"/>
    </row>
    <row r="2" spans="1:7" ht="12" thickBot="1" x14ac:dyDescent="0.2">
      <c r="A2" s="17" t="s">
        <v>0</v>
      </c>
      <c r="B2" s="17"/>
      <c r="C2" s="17"/>
      <c r="D2" s="17"/>
      <c r="E2" s="17"/>
      <c r="F2" s="17"/>
    </row>
    <row r="3" spans="1:7" ht="12" customHeight="1" thickBot="1" x14ac:dyDescent="0.2">
      <c r="A3" s="18" t="s">
        <v>1</v>
      </c>
      <c r="B3" s="18"/>
      <c r="C3" s="18"/>
      <c r="D3" s="3" t="s">
        <v>2</v>
      </c>
      <c r="E3" s="19" t="s">
        <v>3</v>
      </c>
      <c r="F3" s="19"/>
    </row>
    <row r="4" spans="1:7" ht="12" customHeight="1" thickBot="1" x14ac:dyDescent="0.2">
      <c r="A4" s="18"/>
      <c r="B4" s="18"/>
      <c r="C4" s="18"/>
      <c r="D4" s="3"/>
      <c r="E4" s="4" t="s">
        <v>4</v>
      </c>
      <c r="F4" s="3" t="s">
        <v>5</v>
      </c>
    </row>
    <row r="5" spans="1:7" x14ac:dyDescent="0.15">
      <c r="A5" s="12">
        <v>1</v>
      </c>
      <c r="B5" s="16" t="s">
        <v>7</v>
      </c>
      <c r="C5" s="16"/>
      <c r="D5" s="5" t="s">
        <v>6</v>
      </c>
      <c r="E5" s="6">
        <v>2</v>
      </c>
      <c r="F5" s="7">
        <v>125.6</v>
      </c>
      <c r="G5" t="s">
        <v>98</v>
      </c>
    </row>
    <row r="6" spans="1:7" x14ac:dyDescent="0.15">
      <c r="A6" s="12">
        <v>2</v>
      </c>
      <c r="B6" s="16" t="s">
        <v>8</v>
      </c>
      <c r="C6" s="16"/>
      <c r="D6" s="5" t="s">
        <v>6</v>
      </c>
      <c r="E6" s="6">
        <v>25</v>
      </c>
      <c r="F6" s="7">
        <v>3625</v>
      </c>
      <c r="G6" t="s">
        <v>98</v>
      </c>
    </row>
    <row r="7" spans="1:7" x14ac:dyDescent="0.15">
      <c r="A7" s="12">
        <v>3</v>
      </c>
      <c r="B7" s="16" t="s">
        <v>9</v>
      </c>
      <c r="C7" s="16"/>
      <c r="D7" s="5" t="s">
        <v>6</v>
      </c>
      <c r="E7" s="6">
        <v>110</v>
      </c>
      <c r="F7" s="7">
        <v>6871.4</v>
      </c>
      <c r="G7" t="s">
        <v>98</v>
      </c>
    </row>
    <row r="8" spans="1:7" x14ac:dyDescent="0.15">
      <c r="A8" s="12">
        <v>4</v>
      </c>
      <c r="B8" s="16" t="s">
        <v>10</v>
      </c>
      <c r="C8" s="16"/>
      <c r="D8" s="5" t="s">
        <v>6</v>
      </c>
      <c r="E8" s="6">
        <v>80</v>
      </c>
      <c r="F8" s="7">
        <v>6875.5</v>
      </c>
      <c r="G8" t="s">
        <v>98</v>
      </c>
    </row>
    <row r="9" spans="1:7" x14ac:dyDescent="0.15">
      <c r="A9" s="12">
        <v>5</v>
      </c>
      <c r="B9" s="16" t="s">
        <v>11</v>
      </c>
      <c r="C9" s="16"/>
      <c r="D9" s="5" t="s">
        <v>6</v>
      </c>
      <c r="E9" s="6">
        <v>34</v>
      </c>
      <c r="F9" s="7">
        <v>3420.4</v>
      </c>
      <c r="G9" t="s">
        <v>98</v>
      </c>
    </row>
    <row r="10" spans="1:7" x14ac:dyDescent="0.15">
      <c r="A10" s="12">
        <v>6</v>
      </c>
      <c r="B10" s="16" t="s">
        <v>12</v>
      </c>
      <c r="C10" s="16"/>
      <c r="D10" s="5" t="s">
        <v>6</v>
      </c>
      <c r="E10" s="6">
        <v>53</v>
      </c>
      <c r="F10" s="7">
        <v>11980.65</v>
      </c>
      <c r="G10" t="s">
        <v>98</v>
      </c>
    </row>
    <row r="11" spans="1:7" x14ac:dyDescent="0.15">
      <c r="A11" s="12">
        <v>7</v>
      </c>
      <c r="B11" s="16" t="s">
        <v>13</v>
      </c>
      <c r="C11" s="16"/>
      <c r="D11" s="5" t="s">
        <v>6</v>
      </c>
      <c r="E11" s="6">
        <v>25</v>
      </c>
      <c r="F11" s="7">
        <v>2725.25</v>
      </c>
      <c r="G11" t="s">
        <v>98</v>
      </c>
    </row>
    <row r="12" spans="1:7" x14ac:dyDescent="0.15">
      <c r="A12" s="12">
        <v>8</v>
      </c>
      <c r="B12" s="16" t="s">
        <v>14</v>
      </c>
      <c r="C12" s="16"/>
      <c r="D12" s="5" t="s">
        <v>6</v>
      </c>
      <c r="E12" s="6">
        <v>25</v>
      </c>
      <c r="F12" s="7">
        <v>8645.3799999999992</v>
      </c>
      <c r="G12" t="s">
        <v>98</v>
      </c>
    </row>
    <row r="13" spans="1:7" x14ac:dyDescent="0.15">
      <c r="A13" s="12">
        <v>9</v>
      </c>
      <c r="B13" s="16" t="s">
        <v>15</v>
      </c>
      <c r="C13" s="16"/>
      <c r="D13" s="5" t="s">
        <v>6</v>
      </c>
      <c r="E13" s="6">
        <v>260</v>
      </c>
      <c r="F13" s="7">
        <v>45739.199999999997</v>
      </c>
      <c r="G13" t="s">
        <v>98</v>
      </c>
    </row>
    <row r="14" spans="1:7" x14ac:dyDescent="0.15">
      <c r="A14" s="12">
        <v>10</v>
      </c>
      <c r="B14" s="16" t="s">
        <v>16</v>
      </c>
      <c r="C14" s="16"/>
      <c r="D14" s="5" t="s">
        <v>6</v>
      </c>
      <c r="E14" s="6">
        <v>75</v>
      </c>
      <c r="F14" s="7">
        <v>6087.35</v>
      </c>
      <c r="G14" t="s">
        <v>98</v>
      </c>
    </row>
    <row r="15" spans="1:7" x14ac:dyDescent="0.15">
      <c r="A15" s="12">
        <v>11</v>
      </c>
      <c r="B15" s="16" t="s">
        <v>17</v>
      </c>
      <c r="C15" s="16"/>
      <c r="D15" s="5" t="s">
        <v>6</v>
      </c>
      <c r="E15" s="6">
        <v>10</v>
      </c>
      <c r="F15" s="7">
        <v>202.1</v>
      </c>
      <c r="G15" t="s">
        <v>98</v>
      </c>
    </row>
    <row r="16" spans="1:7" x14ac:dyDescent="0.15">
      <c r="A16" s="12">
        <v>12</v>
      </c>
      <c r="B16" s="16" t="s">
        <v>19</v>
      </c>
      <c r="C16" s="16"/>
      <c r="D16" s="5" t="s">
        <v>6</v>
      </c>
      <c r="E16" s="6">
        <v>35</v>
      </c>
      <c r="F16" s="7">
        <v>9011.1</v>
      </c>
      <c r="G16" t="s">
        <v>98</v>
      </c>
    </row>
    <row r="17" spans="1:7" x14ac:dyDescent="0.15">
      <c r="A17" s="12">
        <v>13</v>
      </c>
      <c r="B17" s="16" t="s">
        <v>20</v>
      </c>
      <c r="C17" s="16"/>
      <c r="D17" s="5" t="s">
        <v>6</v>
      </c>
      <c r="E17" s="6">
        <v>35</v>
      </c>
      <c r="F17" s="7">
        <v>7700</v>
      </c>
      <c r="G17" t="s">
        <v>98</v>
      </c>
    </row>
    <row r="18" spans="1:7" x14ac:dyDescent="0.15">
      <c r="A18" s="12">
        <v>14</v>
      </c>
      <c r="B18" s="16" t="s">
        <v>21</v>
      </c>
      <c r="C18" s="16"/>
      <c r="D18" s="5" t="s">
        <v>6</v>
      </c>
      <c r="E18" s="6">
        <v>3</v>
      </c>
      <c r="F18" s="7">
        <v>127.05</v>
      </c>
      <c r="G18" t="s">
        <v>98</v>
      </c>
    </row>
    <row r="19" spans="1:7" x14ac:dyDescent="0.15">
      <c r="A19" s="12">
        <v>15</v>
      </c>
      <c r="B19" s="16" t="s">
        <v>22</v>
      </c>
      <c r="C19" s="16"/>
      <c r="D19" s="5" t="s">
        <v>6</v>
      </c>
      <c r="E19" s="6">
        <v>70</v>
      </c>
      <c r="F19" s="7">
        <v>48778.1</v>
      </c>
      <c r="G19" t="s">
        <v>99</v>
      </c>
    </row>
    <row r="20" spans="1:7" x14ac:dyDescent="0.15">
      <c r="A20" s="12">
        <v>16</v>
      </c>
      <c r="B20" s="16" t="s">
        <v>23</v>
      </c>
      <c r="C20" s="16"/>
      <c r="D20" s="5" t="s">
        <v>6</v>
      </c>
      <c r="E20" s="6">
        <v>6</v>
      </c>
      <c r="F20" s="7">
        <v>1632.72</v>
      </c>
      <c r="G20" t="s">
        <v>98</v>
      </c>
    </row>
    <row r="21" spans="1:7" x14ac:dyDescent="0.15">
      <c r="A21" s="12">
        <v>17</v>
      </c>
      <c r="B21" s="16" t="s">
        <v>24</v>
      </c>
      <c r="C21" s="16"/>
      <c r="D21" s="5" t="s">
        <v>6</v>
      </c>
      <c r="E21" s="6">
        <v>10</v>
      </c>
      <c r="F21" s="7">
        <v>2521</v>
      </c>
      <c r="G21" t="s">
        <v>98</v>
      </c>
    </row>
    <row r="22" spans="1:7" x14ac:dyDescent="0.15">
      <c r="A22" s="12">
        <v>18</v>
      </c>
      <c r="B22" s="16" t="s">
        <v>25</v>
      </c>
      <c r="C22" s="16"/>
      <c r="D22" s="5" t="s">
        <v>6</v>
      </c>
      <c r="E22" s="6">
        <v>13</v>
      </c>
      <c r="F22" s="7">
        <v>1416.61</v>
      </c>
      <c r="G22" t="s">
        <v>98</v>
      </c>
    </row>
    <row r="23" spans="1:7" x14ac:dyDescent="0.15">
      <c r="A23" s="12">
        <v>19</v>
      </c>
      <c r="B23" s="16" t="s">
        <v>27</v>
      </c>
      <c r="C23" s="16"/>
      <c r="D23" s="5" t="s">
        <v>6</v>
      </c>
      <c r="E23" s="6">
        <v>35</v>
      </c>
      <c r="F23" s="7">
        <v>6705.1</v>
      </c>
      <c r="G23" t="s">
        <v>99</v>
      </c>
    </row>
    <row r="24" spans="1:7" x14ac:dyDescent="0.15">
      <c r="A24" s="12">
        <v>20</v>
      </c>
      <c r="B24" s="16" t="s">
        <v>28</v>
      </c>
      <c r="C24" s="16"/>
      <c r="D24" s="5" t="s">
        <v>6</v>
      </c>
      <c r="E24" s="6">
        <v>20</v>
      </c>
      <c r="F24" s="7">
        <v>3702</v>
      </c>
      <c r="G24" t="s">
        <v>99</v>
      </c>
    </row>
    <row r="25" spans="1:7" x14ac:dyDescent="0.15">
      <c r="A25" s="12">
        <v>21</v>
      </c>
      <c r="B25" s="16" t="s">
        <v>29</v>
      </c>
      <c r="C25" s="16"/>
      <c r="D25" s="5" t="s">
        <v>26</v>
      </c>
      <c r="E25" s="6">
        <v>1</v>
      </c>
      <c r="F25" s="7">
        <v>35.119999999999997</v>
      </c>
      <c r="G25" t="s">
        <v>99</v>
      </c>
    </row>
    <row r="26" spans="1:7" x14ac:dyDescent="0.15">
      <c r="A26" s="12">
        <v>22</v>
      </c>
      <c r="B26" s="16" t="s">
        <v>30</v>
      </c>
      <c r="C26" s="16"/>
      <c r="D26" s="5" t="s">
        <v>6</v>
      </c>
      <c r="E26" s="6">
        <v>160</v>
      </c>
      <c r="F26" s="7">
        <v>45600</v>
      </c>
      <c r="G26" t="s">
        <v>98</v>
      </c>
    </row>
    <row r="27" spans="1:7" x14ac:dyDescent="0.15">
      <c r="A27" s="12">
        <v>23</v>
      </c>
      <c r="B27" s="16" t="s">
        <v>31</v>
      </c>
      <c r="C27" s="16"/>
      <c r="D27" s="5" t="s">
        <v>6</v>
      </c>
      <c r="E27" s="6">
        <v>3</v>
      </c>
      <c r="F27" s="7">
        <v>535.53</v>
      </c>
      <c r="G27" t="s">
        <v>99</v>
      </c>
    </row>
    <row r="28" spans="1:7" x14ac:dyDescent="0.15">
      <c r="A28" s="12">
        <v>24</v>
      </c>
      <c r="B28" s="16" t="s">
        <v>32</v>
      </c>
      <c r="C28" s="16"/>
      <c r="D28" s="5" t="s">
        <v>18</v>
      </c>
      <c r="E28" s="6">
        <v>5</v>
      </c>
      <c r="F28" s="7">
        <v>1500</v>
      </c>
      <c r="G28" t="s">
        <v>98</v>
      </c>
    </row>
    <row r="29" spans="1:7" x14ac:dyDescent="0.15">
      <c r="A29" s="12">
        <v>25</v>
      </c>
      <c r="B29" s="16" t="s">
        <v>33</v>
      </c>
      <c r="C29" s="16"/>
      <c r="D29" s="5" t="s">
        <v>6</v>
      </c>
      <c r="E29" s="6">
        <v>5</v>
      </c>
      <c r="F29" s="7">
        <v>4200</v>
      </c>
      <c r="G29" t="s">
        <v>99</v>
      </c>
    </row>
    <row r="30" spans="1:7" x14ac:dyDescent="0.15">
      <c r="A30" s="12">
        <v>26</v>
      </c>
      <c r="B30" s="16" t="s">
        <v>34</v>
      </c>
      <c r="C30" s="16"/>
      <c r="D30" s="5" t="s">
        <v>6</v>
      </c>
      <c r="E30" s="6">
        <v>19</v>
      </c>
      <c r="F30" s="7">
        <v>4530.45</v>
      </c>
      <c r="G30" t="s">
        <v>98</v>
      </c>
    </row>
    <row r="31" spans="1:7" x14ac:dyDescent="0.15">
      <c r="A31" s="12">
        <v>27</v>
      </c>
      <c r="B31" s="16" t="s">
        <v>35</v>
      </c>
      <c r="C31" s="16"/>
      <c r="D31" s="5" t="s">
        <v>6</v>
      </c>
      <c r="E31" s="6">
        <v>13</v>
      </c>
      <c r="F31" s="7">
        <v>1898</v>
      </c>
      <c r="G31" t="s">
        <v>98</v>
      </c>
    </row>
    <row r="32" spans="1:7" x14ac:dyDescent="0.15">
      <c r="A32" s="12">
        <v>28</v>
      </c>
      <c r="B32" s="16" t="s">
        <v>36</v>
      </c>
      <c r="C32" s="16"/>
      <c r="D32" s="5" t="s">
        <v>6</v>
      </c>
      <c r="E32" s="6">
        <v>32</v>
      </c>
      <c r="F32" s="7">
        <v>11136</v>
      </c>
      <c r="G32" t="s">
        <v>100</v>
      </c>
    </row>
    <row r="33" spans="1:7" x14ac:dyDescent="0.15">
      <c r="A33" s="12">
        <v>29</v>
      </c>
      <c r="B33" s="16" t="s">
        <v>37</v>
      </c>
      <c r="C33" s="16"/>
      <c r="D33" s="5" t="s">
        <v>6</v>
      </c>
      <c r="E33" s="6">
        <v>2</v>
      </c>
      <c r="F33" s="7">
        <v>116.31</v>
      </c>
      <c r="G33" t="s">
        <v>99</v>
      </c>
    </row>
    <row r="34" spans="1:7" x14ac:dyDescent="0.15">
      <c r="A34" s="12">
        <v>30</v>
      </c>
      <c r="B34" s="16" t="s">
        <v>38</v>
      </c>
      <c r="C34" s="16"/>
      <c r="D34" s="5" t="s">
        <v>6</v>
      </c>
      <c r="E34" s="6">
        <v>25</v>
      </c>
      <c r="F34" s="7">
        <v>10102.25</v>
      </c>
      <c r="G34" t="s">
        <v>98</v>
      </c>
    </row>
    <row r="35" spans="1:7" x14ac:dyDescent="0.15">
      <c r="A35" s="12">
        <v>31</v>
      </c>
      <c r="B35" s="16" t="s">
        <v>39</v>
      </c>
      <c r="C35" s="16"/>
      <c r="D35" s="5" t="s">
        <v>6</v>
      </c>
      <c r="E35" s="6">
        <v>1</v>
      </c>
      <c r="F35" s="7">
        <v>1900</v>
      </c>
      <c r="G35" t="s">
        <v>98</v>
      </c>
    </row>
    <row r="36" spans="1:7" x14ac:dyDescent="0.15">
      <c r="A36" s="12">
        <v>32</v>
      </c>
      <c r="B36" s="16" t="s">
        <v>40</v>
      </c>
      <c r="C36" s="16"/>
      <c r="D36" s="5" t="s">
        <v>6</v>
      </c>
      <c r="E36" s="6">
        <v>2</v>
      </c>
      <c r="F36" s="7">
        <v>126</v>
      </c>
      <c r="G36" t="s">
        <v>98</v>
      </c>
    </row>
    <row r="37" spans="1:7" x14ac:dyDescent="0.15">
      <c r="A37" s="12">
        <v>33</v>
      </c>
      <c r="B37" s="16" t="s">
        <v>41</v>
      </c>
      <c r="C37" s="16"/>
      <c r="D37" s="5" t="s">
        <v>6</v>
      </c>
      <c r="E37" s="6">
        <v>5</v>
      </c>
      <c r="F37" s="7">
        <v>2148.3000000000002</v>
      </c>
      <c r="G37" t="s">
        <v>98</v>
      </c>
    </row>
    <row r="38" spans="1:7" x14ac:dyDescent="0.15">
      <c r="A38" s="12">
        <v>34</v>
      </c>
      <c r="B38" s="16" t="s">
        <v>42</v>
      </c>
      <c r="C38" s="16"/>
      <c r="D38" s="5" t="s">
        <v>6</v>
      </c>
      <c r="E38" s="6">
        <v>5</v>
      </c>
      <c r="F38" s="7">
        <v>1125</v>
      </c>
      <c r="G38" t="s">
        <v>98</v>
      </c>
    </row>
    <row r="39" spans="1:7" x14ac:dyDescent="0.15">
      <c r="A39" s="12">
        <v>35</v>
      </c>
      <c r="B39" s="16" t="s">
        <v>43</v>
      </c>
      <c r="C39" s="16"/>
      <c r="D39" s="5" t="s">
        <v>6</v>
      </c>
      <c r="E39" s="6">
        <v>29</v>
      </c>
      <c r="F39" s="7">
        <v>4397.8500000000004</v>
      </c>
      <c r="G39" t="s">
        <v>98</v>
      </c>
    </row>
    <row r="40" spans="1:7" x14ac:dyDescent="0.15">
      <c r="A40" s="12">
        <v>36</v>
      </c>
      <c r="B40" s="16" t="s">
        <v>44</v>
      </c>
      <c r="C40" s="16"/>
      <c r="D40" s="5" t="s">
        <v>6</v>
      </c>
      <c r="E40" s="6">
        <v>25</v>
      </c>
      <c r="F40" s="7">
        <v>682</v>
      </c>
      <c r="G40" t="s">
        <v>98</v>
      </c>
    </row>
    <row r="41" spans="1:7" x14ac:dyDescent="0.15">
      <c r="A41" s="12">
        <v>37</v>
      </c>
      <c r="B41" s="16" t="s">
        <v>45</v>
      </c>
      <c r="C41" s="16"/>
      <c r="D41" s="5" t="s">
        <v>6</v>
      </c>
      <c r="E41" s="6">
        <v>23</v>
      </c>
      <c r="F41" s="7">
        <v>356.73</v>
      </c>
      <c r="G41" t="s">
        <v>98</v>
      </c>
    </row>
    <row r="42" spans="1:7" x14ac:dyDescent="0.15">
      <c r="A42" s="12">
        <v>38</v>
      </c>
      <c r="B42" s="16" t="s">
        <v>46</v>
      </c>
      <c r="C42" s="16"/>
      <c r="D42" s="5" t="s">
        <v>6</v>
      </c>
      <c r="E42" s="6">
        <v>5</v>
      </c>
      <c r="F42" s="7">
        <v>228.75</v>
      </c>
      <c r="G42" t="s">
        <v>98</v>
      </c>
    </row>
    <row r="43" spans="1:7" x14ac:dyDescent="0.15">
      <c r="A43" s="12">
        <v>39</v>
      </c>
      <c r="B43" s="16" t="s">
        <v>47</v>
      </c>
      <c r="C43" s="16"/>
      <c r="D43" s="5" t="s">
        <v>6</v>
      </c>
      <c r="E43" s="6">
        <v>3</v>
      </c>
      <c r="F43" s="7">
        <v>255.09</v>
      </c>
      <c r="G43" t="s">
        <v>98</v>
      </c>
    </row>
    <row r="44" spans="1:7" x14ac:dyDescent="0.15">
      <c r="A44" s="12">
        <v>40</v>
      </c>
      <c r="B44" s="16" t="s">
        <v>48</v>
      </c>
      <c r="C44" s="16"/>
      <c r="D44" s="5" t="s">
        <v>6</v>
      </c>
      <c r="E44" s="6">
        <v>18</v>
      </c>
      <c r="F44" s="7">
        <v>4770</v>
      </c>
      <c r="G44" t="s">
        <v>98</v>
      </c>
    </row>
    <row r="45" spans="1:7" x14ac:dyDescent="0.15">
      <c r="A45" s="12">
        <v>41</v>
      </c>
      <c r="B45" s="16" t="s">
        <v>49</v>
      </c>
      <c r="C45" s="16"/>
      <c r="D45" s="5" t="s">
        <v>6</v>
      </c>
      <c r="E45" s="6">
        <v>10</v>
      </c>
      <c r="F45" s="7">
        <v>6400</v>
      </c>
      <c r="G45" t="s">
        <v>99</v>
      </c>
    </row>
    <row r="46" spans="1:7" x14ac:dyDescent="0.15">
      <c r="A46" s="12">
        <v>42</v>
      </c>
      <c r="B46" s="16" t="s">
        <v>50</v>
      </c>
      <c r="C46" s="16"/>
      <c r="D46" s="5" t="s">
        <v>26</v>
      </c>
      <c r="E46" s="6">
        <v>5</v>
      </c>
      <c r="F46" s="7">
        <v>5163.3999999999996</v>
      </c>
      <c r="G46" t="s">
        <v>99</v>
      </c>
    </row>
    <row r="47" spans="1:7" x14ac:dyDescent="0.15">
      <c r="A47" s="12">
        <v>43</v>
      </c>
      <c r="B47" s="16" t="s">
        <v>51</v>
      </c>
      <c r="C47" s="16"/>
      <c r="D47" s="5" t="s">
        <v>6</v>
      </c>
      <c r="E47" s="6">
        <v>80</v>
      </c>
      <c r="F47" s="7">
        <v>29762.400000000001</v>
      </c>
      <c r="G47" t="s">
        <v>99</v>
      </c>
    </row>
    <row r="48" spans="1:7" x14ac:dyDescent="0.15">
      <c r="A48" s="12">
        <v>44</v>
      </c>
      <c r="B48" s="16" t="s">
        <v>52</v>
      </c>
      <c r="C48" s="16"/>
      <c r="D48" s="5" t="s">
        <v>6</v>
      </c>
      <c r="E48" s="6">
        <v>82</v>
      </c>
      <c r="F48" s="7">
        <v>25745.38</v>
      </c>
      <c r="G48" t="s">
        <v>99</v>
      </c>
    </row>
    <row r="49" spans="1:7" x14ac:dyDescent="0.15">
      <c r="A49" s="12">
        <v>45</v>
      </c>
      <c r="B49" s="16" t="s">
        <v>53</v>
      </c>
      <c r="C49" s="16"/>
      <c r="D49" s="5" t="s">
        <v>6</v>
      </c>
      <c r="E49" s="6">
        <v>47</v>
      </c>
      <c r="F49" s="7">
        <v>3749.09</v>
      </c>
      <c r="G49" t="s">
        <v>98</v>
      </c>
    </row>
    <row r="50" spans="1:7" x14ac:dyDescent="0.15">
      <c r="A50" s="12">
        <v>46</v>
      </c>
      <c r="B50" s="16" t="s">
        <v>54</v>
      </c>
      <c r="C50" s="16"/>
      <c r="D50" s="5" t="s">
        <v>6</v>
      </c>
      <c r="E50" s="6">
        <v>80</v>
      </c>
      <c r="F50" s="7">
        <v>7440</v>
      </c>
      <c r="G50" t="s">
        <v>98</v>
      </c>
    </row>
    <row r="51" spans="1:7" x14ac:dyDescent="0.15">
      <c r="A51" s="12">
        <v>47</v>
      </c>
      <c r="B51" s="16" t="s">
        <v>55</v>
      </c>
      <c r="C51" s="16"/>
      <c r="D51" s="5" t="s">
        <v>6</v>
      </c>
      <c r="E51" s="6">
        <v>3</v>
      </c>
      <c r="F51" s="7">
        <v>706.5</v>
      </c>
      <c r="G51" t="s">
        <v>98</v>
      </c>
    </row>
    <row r="52" spans="1:7" x14ac:dyDescent="0.15">
      <c r="A52" s="12">
        <v>48</v>
      </c>
      <c r="B52" s="16" t="s">
        <v>56</v>
      </c>
      <c r="C52" s="16"/>
      <c r="D52" s="5" t="s">
        <v>6</v>
      </c>
      <c r="E52" s="6">
        <v>11</v>
      </c>
      <c r="F52" s="7">
        <v>5245.79</v>
      </c>
      <c r="G52" t="s">
        <v>99</v>
      </c>
    </row>
    <row r="53" spans="1:7" x14ac:dyDescent="0.15">
      <c r="A53" s="12">
        <v>49</v>
      </c>
      <c r="B53" s="16" t="s">
        <v>57</v>
      </c>
      <c r="C53" s="16"/>
      <c r="D53" s="5" t="s">
        <v>6</v>
      </c>
      <c r="E53" s="6">
        <v>3</v>
      </c>
      <c r="F53" s="7">
        <v>1800</v>
      </c>
      <c r="G53" t="s">
        <v>99</v>
      </c>
    </row>
    <row r="54" spans="1:7" x14ac:dyDescent="0.15">
      <c r="A54" s="12">
        <v>50</v>
      </c>
      <c r="B54" s="16" t="s">
        <v>58</v>
      </c>
      <c r="C54" s="16"/>
      <c r="D54" s="5" t="s">
        <v>6</v>
      </c>
      <c r="E54" s="6">
        <v>15</v>
      </c>
      <c r="F54" s="7">
        <v>3379.95</v>
      </c>
      <c r="G54" t="s">
        <v>99</v>
      </c>
    </row>
    <row r="55" spans="1:7" x14ac:dyDescent="0.15">
      <c r="A55" s="12">
        <v>51</v>
      </c>
      <c r="B55" s="16" t="s">
        <v>59</v>
      </c>
      <c r="C55" s="16"/>
      <c r="D55" s="5" t="s">
        <v>6</v>
      </c>
      <c r="E55" s="6">
        <v>11</v>
      </c>
      <c r="F55" s="7">
        <v>1677.5</v>
      </c>
      <c r="G55" t="s">
        <v>98</v>
      </c>
    </row>
    <row r="56" spans="1:7" x14ac:dyDescent="0.15">
      <c r="A56" s="12">
        <v>52</v>
      </c>
      <c r="B56" s="16" t="s">
        <v>60</v>
      </c>
      <c r="C56" s="16"/>
      <c r="D56" s="5" t="s">
        <v>6</v>
      </c>
      <c r="E56" s="6">
        <v>80</v>
      </c>
      <c r="F56" s="7">
        <v>5700</v>
      </c>
      <c r="G56" t="s">
        <v>98</v>
      </c>
    </row>
    <row r="57" spans="1:7" x14ac:dyDescent="0.15">
      <c r="A57" s="12">
        <v>53</v>
      </c>
      <c r="B57" s="16" t="s">
        <v>61</v>
      </c>
      <c r="C57" s="16"/>
      <c r="D57" s="5" t="s">
        <v>6</v>
      </c>
      <c r="E57" s="6">
        <v>30</v>
      </c>
      <c r="F57" s="7">
        <v>6129</v>
      </c>
      <c r="G57" t="s">
        <v>98</v>
      </c>
    </row>
    <row r="58" spans="1:7" x14ac:dyDescent="0.15">
      <c r="A58" s="12">
        <v>54</v>
      </c>
      <c r="B58" s="16" t="s">
        <v>62</v>
      </c>
      <c r="C58" s="16"/>
      <c r="D58" s="5" t="s">
        <v>6</v>
      </c>
      <c r="E58" s="6">
        <v>30</v>
      </c>
      <c r="F58" s="7">
        <v>16782.3</v>
      </c>
      <c r="G58" t="s">
        <v>99</v>
      </c>
    </row>
    <row r="59" spans="1:7" x14ac:dyDescent="0.15">
      <c r="A59" s="12">
        <v>55</v>
      </c>
      <c r="B59" s="16" t="s">
        <v>63</v>
      </c>
      <c r="C59" s="16"/>
      <c r="D59" s="5" t="s">
        <v>6</v>
      </c>
      <c r="E59" s="6">
        <v>3</v>
      </c>
      <c r="F59" s="7">
        <v>2640</v>
      </c>
      <c r="G59" t="s">
        <v>99</v>
      </c>
    </row>
    <row r="60" spans="1:7" x14ac:dyDescent="0.15">
      <c r="A60" s="12">
        <v>56</v>
      </c>
      <c r="B60" s="16" t="s">
        <v>64</v>
      </c>
      <c r="C60" s="16"/>
      <c r="D60" s="5" t="s">
        <v>6</v>
      </c>
      <c r="E60" s="6">
        <v>80</v>
      </c>
      <c r="F60" s="7">
        <v>5836</v>
      </c>
      <c r="G60" t="s">
        <v>98</v>
      </c>
    </row>
    <row r="61" spans="1:7" x14ac:dyDescent="0.15">
      <c r="A61" s="12">
        <v>57</v>
      </c>
      <c r="B61" s="16" t="s">
        <v>65</v>
      </c>
      <c r="C61" s="16"/>
      <c r="D61" s="5" t="s">
        <v>6</v>
      </c>
      <c r="E61" s="6">
        <v>16</v>
      </c>
      <c r="F61" s="7">
        <v>476.8</v>
      </c>
      <c r="G61" t="s">
        <v>98</v>
      </c>
    </row>
    <row r="62" spans="1:7" x14ac:dyDescent="0.15">
      <c r="A62" s="12">
        <v>58</v>
      </c>
      <c r="B62" s="16" t="s">
        <v>66</v>
      </c>
      <c r="C62" s="16"/>
      <c r="D62" s="5" t="s">
        <v>18</v>
      </c>
      <c r="E62" s="6">
        <v>10</v>
      </c>
      <c r="F62" s="7">
        <v>1800</v>
      </c>
      <c r="G62" t="s">
        <v>98</v>
      </c>
    </row>
    <row r="63" spans="1:7" x14ac:dyDescent="0.15">
      <c r="A63" s="12">
        <v>59</v>
      </c>
      <c r="B63" s="16" t="s">
        <v>67</v>
      </c>
      <c r="C63" s="16"/>
      <c r="D63" s="5" t="s">
        <v>6</v>
      </c>
      <c r="E63" s="6">
        <v>1</v>
      </c>
      <c r="F63" s="7">
        <v>454.06</v>
      </c>
      <c r="G63" t="s">
        <v>99</v>
      </c>
    </row>
    <row r="64" spans="1:7" x14ac:dyDescent="0.15">
      <c r="A64" s="12">
        <v>60</v>
      </c>
      <c r="B64" s="16" t="s">
        <v>68</v>
      </c>
      <c r="C64" s="16"/>
      <c r="D64" s="5" t="s">
        <v>6</v>
      </c>
      <c r="E64" s="6">
        <v>7</v>
      </c>
      <c r="F64" s="7">
        <v>5021.92</v>
      </c>
      <c r="G64" t="s">
        <v>99</v>
      </c>
    </row>
    <row r="65" spans="1:7" x14ac:dyDescent="0.15">
      <c r="A65" s="12">
        <v>61</v>
      </c>
      <c r="B65" s="16" t="s">
        <v>69</v>
      </c>
      <c r="C65" s="16"/>
      <c r="D65" s="5" t="s">
        <v>6</v>
      </c>
      <c r="E65" s="6">
        <v>135</v>
      </c>
      <c r="F65" s="7">
        <v>5081.3999999999996</v>
      </c>
      <c r="G65" t="s">
        <v>98</v>
      </c>
    </row>
    <row r="66" spans="1:7" x14ac:dyDescent="0.15">
      <c r="A66" s="12">
        <v>62</v>
      </c>
      <c r="B66" s="16" t="s">
        <v>70</v>
      </c>
      <c r="C66" s="16"/>
      <c r="D66" s="5" t="s">
        <v>6</v>
      </c>
      <c r="E66" s="6">
        <v>30</v>
      </c>
      <c r="F66" s="7">
        <v>6963.6</v>
      </c>
      <c r="G66" t="s">
        <v>98</v>
      </c>
    </row>
    <row r="67" spans="1:7" x14ac:dyDescent="0.15">
      <c r="A67" s="12">
        <v>63</v>
      </c>
      <c r="B67" s="16" t="s">
        <v>71</v>
      </c>
      <c r="C67" s="16"/>
      <c r="D67" s="5" t="s">
        <v>6</v>
      </c>
      <c r="E67" s="6">
        <v>7</v>
      </c>
      <c r="F67" s="7">
        <v>1154</v>
      </c>
      <c r="G67" t="s">
        <v>98</v>
      </c>
    </row>
    <row r="68" spans="1:7" x14ac:dyDescent="0.15">
      <c r="A68" s="12">
        <v>64</v>
      </c>
      <c r="B68" s="16" t="s">
        <v>72</v>
      </c>
      <c r="C68" s="16"/>
      <c r="D68" s="5" t="s">
        <v>6</v>
      </c>
      <c r="E68" s="6">
        <v>80</v>
      </c>
      <c r="F68" s="7">
        <v>68043.55</v>
      </c>
      <c r="G68" t="s">
        <v>98</v>
      </c>
    </row>
    <row r="69" spans="1:7" x14ac:dyDescent="0.15">
      <c r="A69" s="12">
        <v>65</v>
      </c>
      <c r="B69" s="16" t="s">
        <v>73</v>
      </c>
      <c r="C69" s="16"/>
      <c r="D69" s="5" t="s">
        <v>26</v>
      </c>
      <c r="E69" s="6">
        <v>1</v>
      </c>
      <c r="F69" s="7">
        <v>65.41</v>
      </c>
      <c r="G69" t="s">
        <v>100</v>
      </c>
    </row>
    <row r="70" spans="1:7" x14ac:dyDescent="0.15">
      <c r="A70" s="12">
        <v>66</v>
      </c>
      <c r="B70" s="16" t="s">
        <v>74</v>
      </c>
      <c r="C70" s="16"/>
      <c r="D70" s="5" t="s">
        <v>6</v>
      </c>
      <c r="E70" s="6">
        <v>20</v>
      </c>
      <c r="F70" s="7">
        <v>8860.6</v>
      </c>
      <c r="G70" t="s">
        <v>99</v>
      </c>
    </row>
    <row r="71" spans="1:7" x14ac:dyDescent="0.15">
      <c r="A71" s="12">
        <v>67</v>
      </c>
      <c r="B71" s="16" t="s">
        <v>75</v>
      </c>
      <c r="C71" s="16"/>
      <c r="D71" s="5" t="s">
        <v>6</v>
      </c>
      <c r="E71" s="6">
        <v>2</v>
      </c>
      <c r="F71" s="7">
        <v>268.51</v>
      </c>
      <c r="G71" t="s">
        <v>98</v>
      </c>
    </row>
    <row r="72" spans="1:7" x14ac:dyDescent="0.15">
      <c r="A72" s="12">
        <v>68</v>
      </c>
      <c r="B72" s="16" t="s">
        <v>76</v>
      </c>
      <c r="C72" s="16"/>
      <c r="D72" s="5" t="s">
        <v>6</v>
      </c>
      <c r="E72" s="6">
        <v>4</v>
      </c>
      <c r="F72" s="7">
        <v>1406.38</v>
      </c>
      <c r="G72" t="s">
        <v>98</v>
      </c>
    </row>
    <row r="73" spans="1:7" x14ac:dyDescent="0.15">
      <c r="A73" s="12">
        <v>69</v>
      </c>
      <c r="B73" s="16" t="s">
        <v>77</v>
      </c>
      <c r="C73" s="16"/>
      <c r="D73" s="5" t="s">
        <v>6</v>
      </c>
      <c r="E73" s="6">
        <v>6</v>
      </c>
      <c r="F73" s="7">
        <v>48351</v>
      </c>
      <c r="G73" t="s">
        <v>98</v>
      </c>
    </row>
    <row r="74" spans="1:7" x14ac:dyDescent="0.15">
      <c r="A74" s="12">
        <v>70</v>
      </c>
      <c r="B74" s="16" t="s">
        <v>78</v>
      </c>
      <c r="C74" s="16"/>
      <c r="D74" s="5" t="s">
        <v>26</v>
      </c>
      <c r="E74" s="6">
        <v>20</v>
      </c>
      <c r="F74" s="7">
        <v>3470</v>
      </c>
      <c r="G74" t="s">
        <v>98</v>
      </c>
    </row>
    <row r="75" spans="1:7" x14ac:dyDescent="0.15">
      <c r="A75" s="12">
        <v>71</v>
      </c>
      <c r="B75" s="16" t="s">
        <v>79</v>
      </c>
      <c r="C75" s="16"/>
      <c r="D75" s="5" t="s">
        <v>6</v>
      </c>
      <c r="E75" s="6">
        <v>10</v>
      </c>
      <c r="F75" s="7">
        <v>425.7</v>
      </c>
      <c r="G75" t="s">
        <v>98</v>
      </c>
    </row>
    <row r="76" spans="1:7" x14ac:dyDescent="0.15">
      <c r="A76" s="12">
        <v>72</v>
      </c>
      <c r="B76" s="16" t="s">
        <v>80</v>
      </c>
      <c r="C76" s="16"/>
      <c r="D76" s="5" t="s">
        <v>6</v>
      </c>
      <c r="E76" s="6">
        <v>1</v>
      </c>
      <c r="F76" s="7">
        <v>632</v>
      </c>
      <c r="G76" t="s">
        <v>98</v>
      </c>
    </row>
    <row r="77" spans="1:7" x14ac:dyDescent="0.15">
      <c r="A77" s="12">
        <v>73</v>
      </c>
      <c r="B77" s="16" t="s">
        <v>81</v>
      </c>
      <c r="C77" s="16"/>
      <c r="D77" s="5" t="s">
        <v>6</v>
      </c>
      <c r="E77" s="6">
        <v>1</v>
      </c>
      <c r="F77" s="7">
        <v>1047</v>
      </c>
      <c r="G77" t="s">
        <v>98</v>
      </c>
    </row>
    <row r="78" spans="1:7" x14ac:dyDescent="0.15">
      <c r="A78" s="12">
        <v>74</v>
      </c>
      <c r="B78" s="16" t="s">
        <v>82</v>
      </c>
      <c r="C78" s="16"/>
      <c r="D78" s="5" t="s">
        <v>6</v>
      </c>
      <c r="E78" s="6">
        <v>1</v>
      </c>
      <c r="F78" s="7">
        <v>873</v>
      </c>
      <c r="G78" t="s">
        <v>98</v>
      </c>
    </row>
    <row r="79" spans="1:7" x14ac:dyDescent="0.15">
      <c r="A79" s="12">
        <v>75</v>
      </c>
      <c r="B79" s="16" t="s">
        <v>83</v>
      </c>
      <c r="C79" s="16"/>
      <c r="D79" s="5" t="s">
        <v>6</v>
      </c>
      <c r="E79" s="6">
        <v>5</v>
      </c>
      <c r="F79" s="7">
        <v>400</v>
      </c>
      <c r="G79" t="s">
        <v>100</v>
      </c>
    </row>
    <row r="80" spans="1:7" x14ac:dyDescent="0.15">
      <c r="A80" s="12">
        <v>76</v>
      </c>
      <c r="B80" s="16" t="s">
        <v>84</v>
      </c>
      <c r="C80" s="16"/>
      <c r="D80" s="5" t="s">
        <v>6</v>
      </c>
      <c r="E80" s="6">
        <v>25</v>
      </c>
      <c r="F80" s="7">
        <v>11141.3</v>
      </c>
      <c r="G80" t="s">
        <v>98</v>
      </c>
    </row>
    <row r="81" spans="1:7" x14ac:dyDescent="0.15">
      <c r="A81" s="12">
        <v>77</v>
      </c>
      <c r="B81" s="16" t="s">
        <v>85</v>
      </c>
      <c r="C81" s="16"/>
      <c r="D81" s="5" t="s">
        <v>6</v>
      </c>
      <c r="E81" s="6">
        <v>20</v>
      </c>
      <c r="F81" s="7">
        <v>1144.3</v>
      </c>
      <c r="G81" t="s">
        <v>98</v>
      </c>
    </row>
    <row r="82" spans="1:7" x14ac:dyDescent="0.15">
      <c r="A82" s="12">
        <v>78</v>
      </c>
      <c r="B82" s="16" t="s">
        <v>86</v>
      </c>
      <c r="C82" s="16"/>
      <c r="D82" s="5" t="s">
        <v>6</v>
      </c>
      <c r="E82" s="6">
        <v>3</v>
      </c>
      <c r="F82" s="7">
        <v>2232.6</v>
      </c>
      <c r="G82" t="s">
        <v>99</v>
      </c>
    </row>
    <row r="83" spans="1:7" x14ac:dyDescent="0.15">
      <c r="A83" s="12">
        <v>79</v>
      </c>
      <c r="B83" s="16" t="s">
        <v>87</v>
      </c>
      <c r="C83" s="16"/>
      <c r="D83" s="5" t="s">
        <v>6</v>
      </c>
      <c r="E83" s="6">
        <v>30</v>
      </c>
      <c r="F83" s="7">
        <v>2220</v>
      </c>
      <c r="G83" t="s">
        <v>98</v>
      </c>
    </row>
    <row r="84" spans="1:7" x14ac:dyDescent="0.15">
      <c r="A84" s="12">
        <v>80</v>
      </c>
      <c r="B84" s="16" t="s">
        <v>88</v>
      </c>
      <c r="C84" s="16"/>
      <c r="D84" s="5" t="s">
        <v>6</v>
      </c>
      <c r="E84" s="6">
        <v>1</v>
      </c>
      <c r="F84" s="7">
        <v>1287.6500000000001</v>
      </c>
      <c r="G84" t="s">
        <v>99</v>
      </c>
    </row>
    <row r="85" spans="1:7" x14ac:dyDescent="0.15">
      <c r="A85" s="12">
        <v>81</v>
      </c>
      <c r="B85" s="16" t="s">
        <v>89</v>
      </c>
      <c r="C85" s="16"/>
      <c r="D85" s="5" t="s">
        <v>6</v>
      </c>
      <c r="E85" s="6">
        <v>3</v>
      </c>
      <c r="F85" s="7">
        <v>69.63</v>
      </c>
      <c r="G85" t="s">
        <v>98</v>
      </c>
    </row>
    <row r="86" spans="1:7" x14ac:dyDescent="0.15">
      <c r="A86" s="12">
        <v>82</v>
      </c>
      <c r="B86" s="16" t="s">
        <v>90</v>
      </c>
      <c r="C86" s="16"/>
      <c r="D86" s="5" t="s">
        <v>6</v>
      </c>
      <c r="E86" s="6">
        <v>3</v>
      </c>
      <c r="F86" s="7">
        <v>152.46</v>
      </c>
      <c r="G86" t="s">
        <v>98</v>
      </c>
    </row>
    <row r="87" spans="1:7" x14ac:dyDescent="0.15">
      <c r="A87" s="12">
        <v>83</v>
      </c>
      <c r="B87" s="16" t="s">
        <v>91</v>
      </c>
      <c r="C87" s="16"/>
      <c r="D87" s="5" t="s">
        <v>6</v>
      </c>
      <c r="E87" s="6">
        <v>50</v>
      </c>
      <c r="F87" s="7">
        <v>1487</v>
      </c>
      <c r="G87" t="s">
        <v>98</v>
      </c>
    </row>
    <row r="88" spans="1:7" x14ac:dyDescent="0.15">
      <c r="A88" s="12">
        <v>84</v>
      </c>
      <c r="B88" s="16" t="s">
        <v>92</v>
      </c>
      <c r="C88" s="16"/>
      <c r="D88" s="5" t="s">
        <v>6</v>
      </c>
      <c r="E88" s="6">
        <v>1</v>
      </c>
      <c r="F88" s="7">
        <v>1116.2</v>
      </c>
      <c r="G88" t="s">
        <v>98</v>
      </c>
    </row>
    <row r="89" spans="1:7" x14ac:dyDescent="0.15">
      <c r="A89" s="12">
        <v>85</v>
      </c>
      <c r="B89" s="16" t="s">
        <v>93</v>
      </c>
      <c r="C89" s="16"/>
      <c r="D89" s="5" t="s">
        <v>6</v>
      </c>
      <c r="E89" s="6">
        <v>6</v>
      </c>
      <c r="F89" s="7">
        <v>10618.8</v>
      </c>
      <c r="G89" t="s">
        <v>98</v>
      </c>
    </row>
    <row r="90" spans="1:7" ht="12" thickBot="1" x14ac:dyDescent="0.2">
      <c r="A90" s="12">
        <v>89</v>
      </c>
      <c r="B90" s="16" t="s">
        <v>94</v>
      </c>
      <c r="C90" s="16"/>
      <c r="D90" s="5" t="s">
        <v>6</v>
      </c>
      <c r="E90" s="6">
        <v>2</v>
      </c>
      <c r="F90" s="7">
        <v>134.4</v>
      </c>
      <c r="G90" t="s">
        <v>98</v>
      </c>
    </row>
    <row r="91" spans="1:7" ht="19" thickBot="1" x14ac:dyDescent="0.2">
      <c r="A91" s="13"/>
      <c r="B91" s="8"/>
      <c r="C91" s="8"/>
      <c r="D91" s="15" t="s">
        <v>95</v>
      </c>
      <c r="E91" s="10">
        <f>SUM(E5:E90)</f>
        <v>2378</v>
      </c>
      <c r="F91" s="9">
        <f>SUM(F5:F90)</f>
        <v>588091.47</v>
      </c>
    </row>
    <row r="94" spans="1:7" x14ac:dyDescent="0.15">
      <c r="B94" t="s">
        <v>97</v>
      </c>
    </row>
  </sheetData>
  <mergeCells count="89">
    <mergeCell ref="B5:C5"/>
    <mergeCell ref="A2:F2"/>
    <mergeCell ref="A3:C4"/>
    <mergeCell ref="E3:F3"/>
    <mergeCell ref="B9:C9"/>
    <mergeCell ref="B10:C10"/>
    <mergeCell ref="B7:C7"/>
    <mergeCell ref="B8:C8"/>
    <mergeCell ref="B6:C6"/>
    <mergeCell ref="B17:C17"/>
    <mergeCell ref="B16:C16"/>
    <mergeCell ref="B15:C15"/>
    <mergeCell ref="B11:C11"/>
    <mergeCell ref="B12:C12"/>
    <mergeCell ref="B13:C13"/>
    <mergeCell ref="B14:C14"/>
    <mergeCell ref="B21:C21"/>
    <mergeCell ref="B22:C22"/>
    <mergeCell ref="B20:C20"/>
    <mergeCell ref="B19:C19"/>
    <mergeCell ref="B18:C18"/>
    <mergeCell ref="B28:C28"/>
    <mergeCell ref="B27:C27"/>
    <mergeCell ref="B26:C26"/>
    <mergeCell ref="B25:C25"/>
    <mergeCell ref="B23:C23"/>
    <mergeCell ref="B24:C24"/>
    <mergeCell ref="B33:C33"/>
    <mergeCell ref="B32:C32"/>
    <mergeCell ref="B29:C29"/>
    <mergeCell ref="B30:C30"/>
    <mergeCell ref="B31:C31"/>
    <mergeCell ref="B37:C37"/>
    <mergeCell ref="B38:C38"/>
    <mergeCell ref="B36:C36"/>
    <mergeCell ref="B34:C34"/>
    <mergeCell ref="B35:C35"/>
    <mergeCell ref="B43:C43"/>
    <mergeCell ref="B42:C42"/>
    <mergeCell ref="B41:C41"/>
    <mergeCell ref="B40:C40"/>
    <mergeCell ref="B39:C39"/>
    <mergeCell ref="B47:C47"/>
    <mergeCell ref="B48:C48"/>
    <mergeCell ref="B46:C46"/>
    <mergeCell ref="B44:C44"/>
    <mergeCell ref="B45:C45"/>
    <mergeCell ref="B51:C51"/>
    <mergeCell ref="B52:C52"/>
    <mergeCell ref="B53:C53"/>
    <mergeCell ref="B49:C49"/>
    <mergeCell ref="B50:C50"/>
    <mergeCell ref="B59:C59"/>
    <mergeCell ref="B60:C60"/>
    <mergeCell ref="B58:C58"/>
    <mergeCell ref="B57:C57"/>
    <mergeCell ref="B54:C54"/>
    <mergeCell ref="B55:C55"/>
    <mergeCell ref="B56:C56"/>
    <mergeCell ref="B62:C62"/>
    <mergeCell ref="B61:C61"/>
    <mergeCell ref="B70:C70"/>
    <mergeCell ref="B68:C68"/>
    <mergeCell ref="B69:C69"/>
    <mergeCell ref="B65:C65"/>
    <mergeCell ref="B66:C66"/>
    <mergeCell ref="B67:C67"/>
    <mergeCell ref="B73:C73"/>
    <mergeCell ref="B72:C72"/>
    <mergeCell ref="B71:C71"/>
    <mergeCell ref="B63:C63"/>
    <mergeCell ref="B64:C64"/>
    <mergeCell ref="B76:C76"/>
    <mergeCell ref="B77:C77"/>
    <mergeCell ref="B78:C78"/>
    <mergeCell ref="B79:C79"/>
    <mergeCell ref="B74:C74"/>
    <mergeCell ref="B75:C75"/>
    <mergeCell ref="B83:C83"/>
    <mergeCell ref="B84:C84"/>
    <mergeCell ref="B82:C82"/>
    <mergeCell ref="B81:C81"/>
    <mergeCell ref="B80:C80"/>
    <mergeCell ref="B90:C90"/>
    <mergeCell ref="B89:C89"/>
    <mergeCell ref="B87:C87"/>
    <mergeCell ref="B88:C88"/>
    <mergeCell ref="B85:C85"/>
    <mergeCell ref="B86:C86"/>
  </mergeCells>
  <pageMargins left="0.75" right="0.75" top="1" bottom="1" header="0.5" footer="0.5"/>
  <pageSetup paperSize="9" orientation="portrait" verticalDpi="0" r:id="rId1"/>
  <headerFooter>
    <oddHeader>&amp;RМатериальная ведомость 2025 г.   Напечатано: Администратор #D #T    Страница: #P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 Наталья Дмитриевна</dc:creator>
  <cp:lastModifiedBy>Microsoft Office User</cp:lastModifiedBy>
  <dcterms:created xsi:type="dcterms:W3CDTF">2026-01-19T06:37:19Z</dcterms:created>
  <dcterms:modified xsi:type="dcterms:W3CDTF">2026-01-26T03:59:42Z</dcterms:modified>
</cp:coreProperties>
</file>